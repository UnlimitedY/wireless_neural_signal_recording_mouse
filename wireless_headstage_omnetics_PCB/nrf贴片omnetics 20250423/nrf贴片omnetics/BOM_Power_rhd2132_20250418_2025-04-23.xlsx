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200"/>
  </bookViews>
  <sheets>
    <sheet name="bom模板" sheetId="1" r:id="rId1"/>
    <sheet name="Field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<sst xmlns="http://schemas.openxmlformats.org/spreadsheetml/2006/main" count="378" uniqueCount="116">
  <si>
    <t/>
  </si>
  <si>
    <t xml:space="preserve">Bill of Materials </t>
  </si>
  <si>
    <t>BOM_Power_rhd2132_20250418_2025-04-23</t>
  </si>
  <si>
    <t>Project Title：</t>
  </si>
  <si>
    <t>NRF-RHD_V0.3_1813 200250418</t>
  </si>
  <si>
    <t>Variant:</t>
  </si>
  <si>
    <t xml:space="preserve"> </t>
  </si>
  <si>
    <t>Report Time：</t>
  </si>
  <si>
    <t>2025年4月23日 14:12:39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</si>
  <si>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</si>
  <si>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</si>
  <si>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</si>
  <si>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</si>
  <si>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</si>
  <si>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</si>
  <si>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</si>
  <si>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</si>
  <si>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</si>
  <si>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</si>
  <si>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</si>
  <si>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</si>
  <si>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ANT1</t>
  </si>
  <si>
    <t>ANT-SMD_2P-L3.20-W1.60</t>
  </si>
  <si>
    <t>1uF</t>
  </si>
  <si>
    <t>C1, C2, C3, C4</t>
  </si>
  <si>
    <t>C 0201_L</t>
  </si>
  <si>
    <t>0.1uF/16V</t>
  </si>
  <si>
    <t>C5, C8, C9</t>
  </si>
  <si>
    <t>1uF/16V</t>
  </si>
  <si>
    <t>C6</t>
  </si>
  <si>
    <t>10nF</t>
  </si>
  <si>
    <t>C7</t>
  </si>
  <si>
    <t>100nF</t>
  </si>
  <si>
    <t>C10, C11</t>
  </si>
  <si>
    <t>12pF</t>
  </si>
  <si>
    <t>C12, C13</t>
  </si>
  <si>
    <t>1.0uF</t>
  </si>
  <si>
    <t>C14, C17</t>
  </si>
  <si>
    <t>0.1uF</t>
  </si>
  <si>
    <t>C15, C16, C21, C22</t>
  </si>
  <si>
    <t>1.0pF</t>
  </si>
  <si>
    <t>C18</t>
  </si>
  <si>
    <t>4.7uF</t>
  </si>
  <si>
    <t>C20</t>
  </si>
  <si>
    <t>820pF</t>
  </si>
  <si>
    <t>C23</t>
  </si>
  <si>
    <t>C24, C26</t>
  </si>
  <si>
    <t>0201(C)</t>
  </si>
  <si>
    <t>C25, C27, C29</t>
  </si>
  <si>
    <t>2.2uF/35V</t>
  </si>
  <si>
    <t>C28</t>
  </si>
  <si>
    <t>B79038</t>
  </si>
  <si>
    <t>J1</t>
  </si>
  <si>
    <t>4.7nH</t>
  </si>
  <si>
    <t>L1</t>
  </si>
  <si>
    <t>L0201</t>
  </si>
  <si>
    <t>3.9nH</t>
  </si>
  <si>
    <t>L2</t>
  </si>
  <si>
    <t>RED &amp; Green</t>
  </si>
  <si>
    <t>LED1, LED2</t>
  </si>
  <si>
    <t>LED-SMD_L0.7-W0.4-RD_BLUE - duplicate</t>
  </si>
  <si>
    <t>power</t>
  </si>
  <si>
    <t>P1</t>
  </si>
  <si>
    <t>CONN-SMD_SM02B-SURS-TF-LF-SN - duplicate</t>
  </si>
  <si>
    <t>P2</t>
  </si>
  <si>
    <t>HDR-SMD_2P-P1.27-V-M-LS4.2-R1</t>
  </si>
  <si>
    <t>10K</t>
  </si>
  <si>
    <t>R2, R7, R8, R10</t>
  </si>
  <si>
    <t>R 0201_L</t>
  </si>
  <si>
    <t>100K</t>
  </si>
  <si>
    <t>R3</t>
  </si>
  <si>
    <t>33o</t>
  </si>
  <si>
    <t>R4, R5, R6, R9</t>
  </si>
  <si>
    <t>0R</t>
  </si>
  <si>
    <t>R11, R12</t>
  </si>
  <si>
    <t>R13</t>
  </si>
  <si>
    <t>0402(R)</t>
  </si>
  <si>
    <t>1M</t>
  </si>
  <si>
    <t>R14</t>
  </si>
  <si>
    <t>0201(R)</t>
  </si>
  <si>
    <t>NTC-10K</t>
  </si>
  <si>
    <t>R15</t>
  </si>
  <si>
    <t>TPS7A2033PDQNR</t>
  </si>
  <si>
    <t>U1, U2</t>
  </si>
  <si>
    <t>X2SON-0.4</t>
  </si>
  <si>
    <t>RHD2132</t>
  </si>
  <si>
    <t>U3</t>
  </si>
  <si>
    <t>QFN-56-9mm</t>
  </si>
  <si>
    <t>LSM6DS3TR</t>
  </si>
  <si>
    <t>U4</t>
  </si>
  <si>
    <t>LAG-14</t>
  </si>
  <si>
    <t>NRF52840-CKAA-R7</t>
  </si>
  <si>
    <t>U5</t>
  </si>
  <si>
    <t>BGA94C35P10X10_354X361X51</t>
  </si>
  <si>
    <t>MP2710GC-0000</t>
  </si>
  <si>
    <t>U6</t>
  </si>
  <si>
    <t>WLCSP3*3-P0.5mm</t>
  </si>
  <si>
    <t>32MHz</t>
  </si>
  <si>
    <t>Y1</t>
  </si>
  <si>
    <t>OSC 1612-4P</t>
  </si>
  <si>
    <t>Project Title</t>
  </si>
  <si>
    <t>Borard Title</t>
  </si>
  <si>
    <t>Power</t>
  </si>
  <si>
    <t>Schematic Title</t>
  </si>
  <si>
    <t>PCB Title</t>
  </si>
  <si>
    <t>rhd2132_20250418</t>
  </si>
  <si>
    <t>Variant Name</t>
  </si>
  <si>
    <t>Total Quantity</t>
  </si>
  <si>
    <t>Report Time</t>
  </si>
  <si>
    <t>14:12:39</t>
  </si>
  <si>
    <t>Report Date</t>
  </si>
  <si>
    <t>2025年4月23日</t>
  </si>
  <si>
    <t>Report Date&amp;Time</t>
  </si>
  <si>
    <t>File Name</t>
  </si>
  <si>
    <t>Filter Option</t>
  </si>
  <si>
    <t xml:space="preserve">Add into BOM:no;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</si>
</sst>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;\¥\-#,##0.00"/>
  </numFmts>
  <fonts count="23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0" borderId="1" xfId="0" applyFont="1" applyBorder="1" applyAlignment="1">
      <alignment horizontal="left" vertical="center"/>
    </xf>
    <xf numFmtId="0" fontId="1" fillId="3" borderId="1" xfId="0" applyFont="1" applyFill="1" applyBorder="1"/>
    <xf numFmtId="176" fontId="1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176" fontId="1" fillId="3" borderId="1" xfId="0" applyNumberFormat="1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3</xdr:col>
      <xdr:colOff>1007110</xdr:colOff>
      <xdr:row>4</xdr:row>
      <xdr:rowOff>105091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97485" y="139065"/>
          <a:ext cx="4202430" cy="6896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"/>
  <sheetViews>
    <sheetView tabSelected="1" zoomScale="160" zoomScaleNormal="160" topLeftCell="A4" workbookViewId="0">
      <selection activeCell="M19" sqref="M19"/>
    </sheetView>
  </sheetViews>
  <sheetFormatPr defaultColWidth="9" defaultRowHeight="14.25" customHeight="1"/>
  <cols>
    <col min="1" max="1" width="16.25" customWidth="1"/>
    <col min="2" max="2" width="17.125" customWidth="1"/>
    <col min="3" max="3" width="18" customWidth="1"/>
    <col min="4" max="4" width="23.3653846153846" customWidth="1"/>
    <col min="5" max="5" width="36.9326923076923" customWidth="1"/>
    <col min="6" max="6" width="13.25" customWidth="1"/>
    <col min="7" max="7" width="14.375" customWidth="1"/>
    <col min="8" max="8" width="16.875" customWidth="1"/>
    <col min="9" max="9" width="13.375" customWidth="1"/>
    <col min="10" max="10" width="14.375" customWidth="1"/>
    <col min="11" max="11" width="10.25" customWidth="1"/>
    <col min="12" max="12" width="10.0769230769231"/>
  </cols>
  <sheetData>
    <row r="1" customHeight="1" spans="1:12">
      <c r="A1" s="2" t="s">
        <v>0</v>
      </c>
      <c r="B1" s="2"/>
      <c r="C1" s="2"/>
      <c r="D1" s="2"/>
      <c r="E1" s="7" t="s">
        <v>1</v>
      </c>
      <c r="F1" s="7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9" t="s">
        <v>0</v>
      </c>
    </row>
    <row r="2" customHeight="1" spans="1:12">
      <c r="A2" s="2"/>
      <c r="B2" s="2"/>
      <c r="C2" s="2"/>
      <c r="D2" s="2"/>
      <c r="E2" s="7"/>
      <c r="F2" s="7"/>
      <c r="G2" t="s">
        <v>0</v>
      </c>
      <c r="H2" t="s">
        <v>0</v>
      </c>
      <c r="I2" t="s">
        <v>0</v>
      </c>
      <c r="J2" t="s">
        <v>0</v>
      </c>
      <c r="K2" t="s">
        <v>0</v>
      </c>
      <c r="L2" s="9" t="s">
        <v>0</v>
      </c>
    </row>
    <row r="3" customHeight="1" spans="1:12">
      <c r="A3" s="2"/>
      <c r="B3" s="2"/>
      <c r="C3" s="2"/>
      <c r="D3" s="2"/>
      <c r="E3" s="8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9" t="s">
        <v>0</v>
      </c>
    </row>
    <row r="4" customHeight="1" spans="1:12">
      <c r="A4" s="2"/>
      <c r="B4" s="2"/>
      <c r="C4" s="2"/>
      <c r="D4" s="2"/>
      <c r="E4" s="8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9" t="s">
        <v>0</v>
      </c>
    </row>
    <row r="5" customHeight="1" spans="1:12">
      <c r="A5" s="2"/>
      <c r="B5" s="2"/>
      <c r="C5" s="2"/>
      <c r="D5" s="2"/>
      <c r="E5" s="8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10" t="s">
        <v>0</v>
      </c>
    </row>
    <row r="6" customHeight="1" spans="1:12">
      <c r="A6" s="1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3" t="s">
        <v>18</v>
      </c>
      <c r="K6" s="3" t="s">
        <v>19</v>
      </c>
      <c r="L6" s="3" t="s">
        <v>20</v>
      </c>
    </row>
    <row r="7" customHeight="1" spans="1:12">
      <c r="A7" s="4">
        <f t="shared" ref="A7:A40" si="0">ROW()-6</f>
        <v>1</v>
      </c>
      <c r="B7" s="5">
        <v>1</v>
      </c>
      <c r="C7" s="5" t="s">
        <v>21</v>
      </c>
      <c r="D7" s="5" t="s">
        <v>21</v>
      </c>
      <c r="E7" s="5" t="s">
        <v>22</v>
      </c>
      <c r="F7" s="5" t="s">
        <v>0</v>
      </c>
      <c r="G7" s="5" t="s">
        <v>0</v>
      </c>
      <c r="H7" s="5" t="s">
        <v>0</v>
      </c>
      <c r="I7" s="5" t="s">
        <v>0</v>
      </c>
      <c r="J7" s="5" t="s">
        <v>0</v>
      </c>
      <c r="K7" s="5" t="s">
        <v>0</v>
      </c>
      <c r="L7" s="11" t="e">
        <f t="shared" ref="L7:L39" si="1">B7*K7</f>
        <v>#VALUE!</v>
      </c>
    </row>
    <row r="8" customHeight="1" spans="1:12">
      <c r="A8" s="4">
        <f t="shared" si="0"/>
        <v>2</v>
      </c>
      <c r="B8" s="5">
        <v>4</v>
      </c>
      <c r="C8" s="5" t="s">
        <v>23</v>
      </c>
      <c r="D8" s="5" t="s">
        <v>24</v>
      </c>
      <c r="E8" s="5" t="s">
        <v>25</v>
      </c>
      <c r="F8" s="5" t="s">
        <v>0</v>
      </c>
      <c r="G8" s="5" t="s">
        <v>0</v>
      </c>
      <c r="H8" s="5" t="s">
        <v>0</v>
      </c>
      <c r="I8" s="5" t="s">
        <v>0</v>
      </c>
      <c r="J8" s="5" t="s">
        <v>0</v>
      </c>
      <c r="K8" s="5" t="s">
        <v>0</v>
      </c>
      <c r="L8" s="11" t="e">
        <f t="shared" si="1"/>
        <v>#VALUE!</v>
      </c>
    </row>
    <row r="9" customHeight="1" spans="1:12">
      <c r="A9" s="4">
        <f t="shared" si="0"/>
        <v>3</v>
      </c>
      <c r="B9" s="5">
        <v>3</v>
      </c>
      <c r="C9" s="5" t="s">
        <v>26</v>
      </c>
      <c r="D9" s="5" t="s">
        <v>27</v>
      </c>
      <c r="E9" s="5" t="s">
        <v>25</v>
      </c>
      <c r="F9" s="5" t="s">
        <v>0</v>
      </c>
      <c r="G9" s="5" t="s">
        <v>0</v>
      </c>
      <c r="H9" s="5" t="s">
        <v>0</v>
      </c>
      <c r="I9" s="5" t="s">
        <v>0</v>
      </c>
      <c r="J9" s="5" t="s">
        <v>0</v>
      </c>
      <c r="K9" s="5" t="s">
        <v>0</v>
      </c>
      <c r="L9" s="11" t="e">
        <f t="shared" si="1"/>
        <v>#VALUE!</v>
      </c>
    </row>
    <row r="10" customHeight="1" spans="1:12">
      <c r="A10" s="4">
        <f t="shared" si="0"/>
        <v>4</v>
      </c>
      <c r="B10" s="5">
        <v>1</v>
      </c>
      <c r="C10" s="5" t="s">
        <v>28</v>
      </c>
      <c r="D10" s="5" t="s">
        <v>29</v>
      </c>
      <c r="E10" s="5" t="s">
        <v>25</v>
      </c>
      <c r="F10" s="5" t="s">
        <v>0</v>
      </c>
      <c r="G10" s="5" t="s">
        <v>0</v>
      </c>
      <c r="H10" s="5" t="s">
        <v>0</v>
      </c>
      <c r="I10" s="5" t="s">
        <v>0</v>
      </c>
      <c r="J10" s="5" t="s">
        <v>0</v>
      </c>
      <c r="K10" s="5" t="s">
        <v>0</v>
      </c>
      <c r="L10" s="11" t="e">
        <f t="shared" si="1"/>
        <v>#VALUE!</v>
      </c>
    </row>
    <row r="11" customHeight="1" spans="1:12">
      <c r="A11" s="4">
        <f t="shared" si="0"/>
        <v>5</v>
      </c>
      <c r="B11" s="5">
        <v>1</v>
      </c>
      <c r="C11" s="5" t="s">
        <v>30</v>
      </c>
      <c r="D11" s="5" t="s">
        <v>31</v>
      </c>
      <c r="E11" s="5" t="s">
        <v>25</v>
      </c>
      <c r="F11" s="5" t="s">
        <v>0</v>
      </c>
      <c r="G11" s="5" t="s">
        <v>0</v>
      </c>
      <c r="H11" s="5" t="s">
        <v>0</v>
      </c>
      <c r="I11" s="5" t="s">
        <v>0</v>
      </c>
      <c r="J11" s="5" t="s">
        <v>0</v>
      </c>
      <c r="K11" s="5" t="s">
        <v>0</v>
      </c>
      <c r="L11" s="11" t="e">
        <f t="shared" si="1"/>
        <v>#VALUE!</v>
      </c>
    </row>
    <row r="12" customHeight="1" spans="1:12">
      <c r="A12" s="4">
        <f t="shared" si="0"/>
        <v>6</v>
      </c>
      <c r="B12" s="5">
        <v>2</v>
      </c>
      <c r="C12" s="5" t="s">
        <v>32</v>
      </c>
      <c r="D12" s="5" t="s">
        <v>33</v>
      </c>
      <c r="E12" s="5" t="s">
        <v>25</v>
      </c>
      <c r="F12" s="5" t="s">
        <v>0</v>
      </c>
      <c r="G12" s="5" t="s">
        <v>0</v>
      </c>
      <c r="H12" s="5" t="s">
        <v>0</v>
      </c>
      <c r="I12" s="5" t="s">
        <v>0</v>
      </c>
      <c r="J12" s="5" t="s">
        <v>0</v>
      </c>
      <c r="K12" s="5" t="s">
        <v>0</v>
      </c>
      <c r="L12" s="11" t="e">
        <f t="shared" si="1"/>
        <v>#VALUE!</v>
      </c>
    </row>
    <row r="13" customHeight="1" spans="1:12">
      <c r="A13" s="4">
        <f t="shared" si="0"/>
        <v>7</v>
      </c>
      <c r="B13" s="5">
        <v>2</v>
      </c>
      <c r="C13" s="5" t="s">
        <v>34</v>
      </c>
      <c r="D13" s="5" t="s">
        <v>35</v>
      </c>
      <c r="E13" s="5" t="s">
        <v>25</v>
      </c>
      <c r="F13" s="5" t="s">
        <v>0</v>
      </c>
      <c r="G13" s="5" t="s">
        <v>0</v>
      </c>
      <c r="H13" s="5" t="s">
        <v>0</v>
      </c>
      <c r="I13" s="5" t="s">
        <v>0</v>
      </c>
      <c r="J13" s="5" t="s">
        <v>0</v>
      </c>
      <c r="K13" s="5" t="s">
        <v>0</v>
      </c>
      <c r="L13" s="11" t="e">
        <f t="shared" si="1"/>
        <v>#VALUE!</v>
      </c>
    </row>
    <row r="14" customHeight="1" spans="1:12">
      <c r="A14" s="4">
        <f t="shared" si="0"/>
        <v>8</v>
      </c>
      <c r="B14" s="5">
        <v>2</v>
      </c>
      <c r="C14" s="5" t="s">
        <v>36</v>
      </c>
      <c r="D14" s="5" t="s">
        <v>37</v>
      </c>
      <c r="E14" s="5" t="s">
        <v>25</v>
      </c>
      <c r="F14" s="5" t="s">
        <v>0</v>
      </c>
      <c r="G14" s="5" t="s">
        <v>0</v>
      </c>
      <c r="H14" s="5" t="s">
        <v>0</v>
      </c>
      <c r="I14" s="5" t="s">
        <v>0</v>
      </c>
      <c r="J14" s="5" t="s">
        <v>0</v>
      </c>
      <c r="K14" s="5" t="s">
        <v>0</v>
      </c>
      <c r="L14" s="11" t="e">
        <f t="shared" si="1"/>
        <v>#VALUE!</v>
      </c>
    </row>
    <row r="15" customHeight="1" spans="1:12">
      <c r="A15" s="4">
        <f t="shared" si="0"/>
        <v>9</v>
      </c>
      <c r="B15" s="5">
        <v>4</v>
      </c>
      <c r="C15" s="5" t="s">
        <v>38</v>
      </c>
      <c r="D15" s="5" t="s">
        <v>39</v>
      </c>
      <c r="E15" s="5" t="s">
        <v>25</v>
      </c>
      <c r="F15" s="5" t="s">
        <v>0</v>
      </c>
      <c r="G15" s="5" t="s">
        <v>0</v>
      </c>
      <c r="H15" s="5" t="s">
        <v>0</v>
      </c>
      <c r="I15" s="5" t="s">
        <v>0</v>
      </c>
      <c r="J15" s="5" t="s">
        <v>0</v>
      </c>
      <c r="K15" s="5" t="s">
        <v>0</v>
      </c>
      <c r="L15" s="11" t="e">
        <f t="shared" si="1"/>
        <v>#VALUE!</v>
      </c>
    </row>
    <row r="16" customHeight="1" spans="1:12">
      <c r="A16" s="4">
        <f t="shared" si="0"/>
        <v>10</v>
      </c>
      <c r="B16" s="5">
        <v>1</v>
      </c>
      <c r="C16" s="5" t="s">
        <v>40</v>
      </c>
      <c r="D16" s="5" t="s">
        <v>41</v>
      </c>
      <c r="E16" s="5" t="s">
        <v>25</v>
      </c>
      <c r="F16" s="5" t="s">
        <v>0</v>
      </c>
      <c r="G16" s="5" t="s">
        <v>0</v>
      </c>
      <c r="H16" s="5" t="s">
        <v>0</v>
      </c>
      <c r="I16" s="5" t="s">
        <v>0</v>
      </c>
      <c r="J16" s="5" t="s">
        <v>0</v>
      </c>
      <c r="K16" s="5" t="s">
        <v>0</v>
      </c>
      <c r="L16" s="11" t="e">
        <f t="shared" si="1"/>
        <v>#VALUE!</v>
      </c>
    </row>
    <row r="17" customHeight="1" spans="1:12">
      <c r="A17" s="4">
        <f t="shared" si="0"/>
        <v>11</v>
      </c>
      <c r="B17" s="5">
        <v>1</v>
      </c>
      <c r="C17" s="5" t="s">
        <v>42</v>
      </c>
      <c r="D17" s="5" t="s">
        <v>43</v>
      </c>
      <c r="E17" s="5" t="s">
        <v>25</v>
      </c>
      <c r="F17" s="5" t="s">
        <v>0</v>
      </c>
      <c r="G17" s="5" t="s">
        <v>0</v>
      </c>
      <c r="H17" s="5" t="s">
        <v>0</v>
      </c>
      <c r="I17" s="5" t="s">
        <v>0</v>
      </c>
      <c r="J17" s="5" t="s">
        <v>0</v>
      </c>
      <c r="K17" s="5" t="s">
        <v>0</v>
      </c>
      <c r="L17" s="11" t="e">
        <f t="shared" si="1"/>
        <v>#VALUE!</v>
      </c>
    </row>
    <row r="18" customHeight="1" spans="1:12">
      <c r="A18" s="4">
        <f t="shared" si="0"/>
        <v>12</v>
      </c>
      <c r="B18" s="5">
        <v>1</v>
      </c>
      <c r="C18" s="5" t="s">
        <v>44</v>
      </c>
      <c r="D18" s="5" t="s">
        <v>45</v>
      </c>
      <c r="E18" s="5" t="s">
        <v>25</v>
      </c>
      <c r="F18" s="5" t="s">
        <v>0</v>
      </c>
      <c r="G18" s="5" t="s">
        <v>0</v>
      </c>
      <c r="H18" s="5" t="s">
        <v>0</v>
      </c>
      <c r="I18" s="5" t="s">
        <v>0</v>
      </c>
      <c r="J18" s="5" t="s">
        <v>0</v>
      </c>
      <c r="K18" s="5" t="s">
        <v>0</v>
      </c>
      <c r="L18" s="11" t="e">
        <f t="shared" si="1"/>
        <v>#VALUE!</v>
      </c>
    </row>
    <row r="19" customHeight="1" spans="1:12">
      <c r="A19" s="4">
        <f t="shared" si="0"/>
        <v>13</v>
      </c>
      <c r="B19" s="5">
        <v>2</v>
      </c>
      <c r="C19" s="5" t="s">
        <v>42</v>
      </c>
      <c r="D19" s="5" t="s">
        <v>46</v>
      </c>
      <c r="E19" s="5" t="s">
        <v>47</v>
      </c>
      <c r="F19" s="5" t="s">
        <v>0</v>
      </c>
      <c r="G19" s="5" t="s">
        <v>0</v>
      </c>
      <c r="H19" s="5" t="s">
        <v>0</v>
      </c>
      <c r="I19" s="5" t="s">
        <v>0</v>
      </c>
      <c r="J19" s="5" t="s">
        <v>0</v>
      </c>
      <c r="K19" s="5" t="s">
        <v>0</v>
      </c>
      <c r="L19" s="11" t="e">
        <f t="shared" si="1"/>
        <v>#VALUE!</v>
      </c>
    </row>
    <row r="20" customHeight="1" spans="1:12">
      <c r="A20" s="4">
        <f t="shared" si="0"/>
        <v>14</v>
      </c>
      <c r="B20" s="5">
        <v>3</v>
      </c>
      <c r="C20" s="5" t="s">
        <v>38</v>
      </c>
      <c r="D20" s="5" t="s">
        <v>48</v>
      </c>
      <c r="E20" s="5" t="s">
        <v>47</v>
      </c>
      <c r="F20" s="5" t="s">
        <v>0</v>
      </c>
      <c r="G20" s="5" t="s">
        <v>0</v>
      </c>
      <c r="H20" s="5" t="s">
        <v>0</v>
      </c>
      <c r="I20" s="5" t="s">
        <v>0</v>
      </c>
      <c r="J20" s="5" t="s">
        <v>0</v>
      </c>
      <c r="K20" s="5" t="s">
        <v>0</v>
      </c>
      <c r="L20" s="11" t="e">
        <f t="shared" si="1"/>
        <v>#VALUE!</v>
      </c>
    </row>
    <row r="21" customHeight="1" spans="1:12">
      <c r="A21" s="4">
        <f t="shared" si="0"/>
        <v>15</v>
      </c>
      <c r="B21" s="5">
        <v>1</v>
      </c>
      <c r="C21" s="5" t="s">
        <v>49</v>
      </c>
      <c r="D21" s="5" t="s">
        <v>50</v>
      </c>
      <c r="E21" s="5" t="s">
        <v>47</v>
      </c>
      <c r="F21" s="5" t="s">
        <v>0</v>
      </c>
      <c r="G21" s="5" t="s">
        <v>0</v>
      </c>
      <c r="H21" s="5" t="s">
        <v>0</v>
      </c>
      <c r="I21" s="5" t="s">
        <v>0</v>
      </c>
      <c r="J21" s="5" t="s">
        <v>0</v>
      </c>
      <c r="K21" s="5" t="s">
        <v>0</v>
      </c>
      <c r="L21" s="11" t="e">
        <f t="shared" si="1"/>
        <v>#VALUE!</v>
      </c>
    </row>
    <row r="22" customHeight="1" spans="1:12">
      <c r="A22" s="4">
        <f t="shared" si="0"/>
        <v>16</v>
      </c>
      <c r="B22" s="5">
        <v>1</v>
      </c>
      <c r="C22" s="5" t="s">
        <v>51</v>
      </c>
      <c r="D22" s="5" t="s">
        <v>52</v>
      </c>
      <c r="E22" s="5" t="s">
        <v>51</v>
      </c>
      <c r="F22" s="5" t="s">
        <v>0</v>
      </c>
      <c r="G22" s="5" t="s">
        <v>0</v>
      </c>
      <c r="H22" s="5" t="s">
        <v>0</v>
      </c>
      <c r="I22" s="5" t="s">
        <v>0</v>
      </c>
      <c r="J22" s="5" t="s">
        <v>0</v>
      </c>
      <c r="K22" s="5" t="s">
        <v>0</v>
      </c>
      <c r="L22" s="11" t="e">
        <f t="shared" si="1"/>
        <v>#VALUE!</v>
      </c>
    </row>
    <row r="23" customHeight="1" spans="1:12">
      <c r="A23" s="4">
        <f t="shared" si="0"/>
        <v>17</v>
      </c>
      <c r="B23" s="5">
        <v>1</v>
      </c>
      <c r="C23" s="5" t="s">
        <v>53</v>
      </c>
      <c r="D23" s="5" t="s">
        <v>54</v>
      </c>
      <c r="E23" s="5" t="s">
        <v>55</v>
      </c>
      <c r="F23" s="5" t="s">
        <v>0</v>
      </c>
      <c r="G23" s="5" t="s">
        <v>0</v>
      </c>
      <c r="H23" s="5" t="s">
        <v>0</v>
      </c>
      <c r="I23" s="5" t="s">
        <v>0</v>
      </c>
      <c r="J23" s="5" t="s">
        <v>0</v>
      </c>
      <c r="K23" s="5" t="s">
        <v>0</v>
      </c>
      <c r="L23" s="11" t="e">
        <f t="shared" si="1"/>
        <v>#VALUE!</v>
      </c>
    </row>
    <row r="24" customHeight="1" spans="1:12">
      <c r="A24" s="4">
        <f t="shared" si="0"/>
        <v>18</v>
      </c>
      <c r="B24" s="5">
        <v>1</v>
      </c>
      <c r="C24" s="5" t="s">
        <v>56</v>
      </c>
      <c r="D24" s="5" t="s">
        <v>57</v>
      </c>
      <c r="E24" s="5" t="s">
        <v>55</v>
      </c>
      <c r="F24" s="5" t="s">
        <v>0</v>
      </c>
      <c r="G24" s="5" t="s">
        <v>0</v>
      </c>
      <c r="H24" s="5" t="s">
        <v>0</v>
      </c>
      <c r="I24" s="5" t="s">
        <v>0</v>
      </c>
      <c r="J24" s="5" t="s">
        <v>0</v>
      </c>
      <c r="K24" s="5" t="s">
        <v>0</v>
      </c>
      <c r="L24" s="11" t="e">
        <f t="shared" si="1"/>
        <v>#VALUE!</v>
      </c>
    </row>
    <row r="25" customHeight="1" spans="1:12">
      <c r="A25" s="4">
        <f>ROW()-6</f>
        <v>19</v>
      </c>
      <c r="B25" s="5">
        <v>2</v>
      </c>
      <c r="C25" s="5" t="s">
        <v>58</v>
      </c>
      <c r="D25" s="5" t="s">
        <v>59</v>
      </c>
      <c r="E25" s="5" t="s">
        <v>60</v>
      </c>
      <c r="F25" s="5" t="s">
        <v>0</v>
      </c>
      <c r="G25" s="5" t="s">
        <v>0</v>
      </c>
      <c r="H25" s="5" t="s">
        <v>0</v>
      </c>
      <c r="I25" s="5" t="s">
        <v>0</v>
      </c>
      <c r="J25" s="5" t="s">
        <v>0</v>
      </c>
      <c r="K25" s="5" t="s">
        <v>0</v>
      </c>
      <c r="L25" s="11" t="e">
        <f>B25*K25</f>
        <v>#VALUE!</v>
      </c>
    </row>
    <row r="26" customHeight="1" spans="1:12">
      <c r="A26" s="4">
        <f>ROW()-6</f>
        <v>20</v>
      </c>
      <c r="B26" s="5">
        <v>1</v>
      </c>
      <c r="C26" s="5" t="s">
        <v>61</v>
      </c>
      <c r="D26" s="5" t="s">
        <v>62</v>
      </c>
      <c r="E26" s="5" t="s">
        <v>63</v>
      </c>
      <c r="F26" s="5" t="s">
        <v>0</v>
      </c>
      <c r="G26" s="5" t="s">
        <v>0</v>
      </c>
      <c r="H26" s="5" t="s">
        <v>0</v>
      </c>
      <c r="I26" s="5" t="s">
        <v>0</v>
      </c>
      <c r="J26" s="5" t="s">
        <v>0</v>
      </c>
      <c r="K26" s="5" t="s">
        <v>0</v>
      </c>
      <c r="L26" s="11" t="e">
        <f>B26*K26</f>
        <v>#VALUE!</v>
      </c>
    </row>
    <row r="27" customHeight="1" spans="1:12">
      <c r="A27" s="4">
        <f>ROW()-6</f>
        <v>21</v>
      </c>
      <c r="B27" s="5">
        <v>1</v>
      </c>
      <c r="C27" s="5" t="s">
        <v>61</v>
      </c>
      <c r="D27" s="5" t="s">
        <v>64</v>
      </c>
      <c r="E27" s="5" t="s">
        <v>65</v>
      </c>
      <c r="F27" s="5" t="s">
        <v>0</v>
      </c>
      <c r="G27" s="5" t="s">
        <v>0</v>
      </c>
      <c r="H27" s="5" t="s">
        <v>0</v>
      </c>
      <c r="I27" s="5" t="s">
        <v>0</v>
      </c>
      <c r="J27" s="5" t="s">
        <v>0</v>
      </c>
      <c r="K27" s="5" t="s">
        <v>0</v>
      </c>
      <c r="L27" s="11" t="e">
        <f>B27*K27</f>
        <v>#VALUE!</v>
      </c>
    </row>
    <row r="28" customHeight="1" spans="1:12">
      <c r="A28" s="4">
        <f>ROW()-6</f>
        <v>22</v>
      </c>
      <c r="B28" s="5">
        <v>4</v>
      </c>
      <c r="C28" s="5" t="s">
        <v>66</v>
      </c>
      <c r="D28" s="5" t="s">
        <v>67</v>
      </c>
      <c r="E28" s="5" t="s">
        <v>68</v>
      </c>
      <c r="F28" s="5" t="s">
        <v>0</v>
      </c>
      <c r="G28" s="5" t="s">
        <v>0</v>
      </c>
      <c r="H28" s="5" t="s">
        <v>0</v>
      </c>
      <c r="I28" s="5" t="s">
        <v>0</v>
      </c>
      <c r="J28" s="5" t="s">
        <v>0</v>
      </c>
      <c r="K28" s="5" t="s">
        <v>0</v>
      </c>
      <c r="L28" s="11" t="e">
        <f>B28*K28</f>
        <v>#VALUE!</v>
      </c>
    </row>
    <row r="29" customHeight="1" spans="1:12">
      <c r="A29" s="4">
        <f>ROW()-6</f>
        <v>23</v>
      </c>
      <c r="B29" s="5">
        <v>1</v>
      </c>
      <c r="C29" s="5" t="s">
        <v>69</v>
      </c>
      <c r="D29" s="5" t="s">
        <v>70</v>
      </c>
      <c r="E29" s="5" t="s">
        <v>68</v>
      </c>
      <c r="F29" s="5" t="s">
        <v>0</v>
      </c>
      <c r="G29" s="5" t="s">
        <v>0</v>
      </c>
      <c r="H29" s="5" t="s">
        <v>0</v>
      </c>
      <c r="I29" s="5" t="s">
        <v>0</v>
      </c>
      <c r="J29" s="5" t="s">
        <v>0</v>
      </c>
      <c r="K29" s="5" t="s">
        <v>0</v>
      </c>
      <c r="L29" s="11" t="e">
        <f>B29*K29</f>
        <v>#VALUE!</v>
      </c>
    </row>
    <row r="30" customHeight="1" spans="1:12">
      <c r="A30" s="4">
        <f>ROW()-6</f>
        <v>24</v>
      </c>
      <c r="B30" s="5">
        <v>4</v>
      </c>
      <c r="C30" s="5" t="s">
        <v>71</v>
      </c>
      <c r="D30" s="5" t="s">
        <v>72</v>
      </c>
      <c r="E30" s="5" t="s">
        <v>68</v>
      </c>
      <c r="F30" s="5" t="s">
        <v>0</v>
      </c>
      <c r="G30" s="5" t="s">
        <v>0</v>
      </c>
      <c r="H30" s="5" t="s">
        <v>0</v>
      </c>
      <c r="I30" s="5" t="s">
        <v>0</v>
      </c>
      <c r="J30" s="5" t="s">
        <v>0</v>
      </c>
      <c r="K30" s="5" t="s">
        <v>0</v>
      </c>
      <c r="L30" s="11" t="e">
        <f>B30*K30</f>
        <v>#VALUE!</v>
      </c>
    </row>
    <row r="31" customHeight="1" spans="1:12">
      <c r="A31" s="4">
        <f>ROW()-6</f>
        <v>25</v>
      </c>
      <c r="B31" s="5">
        <v>2</v>
      </c>
      <c r="C31" s="5" t="s">
        <v>73</v>
      </c>
      <c r="D31" s="5" t="s">
        <v>74</v>
      </c>
      <c r="E31" s="5" t="s">
        <v>68</v>
      </c>
      <c r="F31" s="5" t="s">
        <v>0</v>
      </c>
      <c r="G31" s="5" t="s">
        <v>0</v>
      </c>
      <c r="H31" s="5" t="s">
        <v>0</v>
      </c>
      <c r="I31" s="5" t="s">
        <v>0</v>
      </c>
      <c r="J31" s="5" t="s">
        <v>0</v>
      </c>
      <c r="K31" s="5" t="s">
        <v>0</v>
      </c>
      <c r="L31" s="11" t="e">
        <f>B31*K31</f>
        <v>#VALUE!</v>
      </c>
    </row>
    <row r="32" customHeight="1" spans="1:12">
      <c r="A32" s="4">
        <f>ROW()-6</f>
        <v>26</v>
      </c>
      <c r="B32" s="5">
        <v>1</v>
      </c>
      <c r="C32" s="5" t="s">
        <v>73</v>
      </c>
      <c r="D32" s="5" t="s">
        <v>75</v>
      </c>
      <c r="E32" s="5" t="s">
        <v>76</v>
      </c>
      <c r="F32" s="5" t="s">
        <v>0</v>
      </c>
      <c r="G32" s="5" t="s">
        <v>0</v>
      </c>
      <c r="H32" s="5" t="s">
        <v>0</v>
      </c>
      <c r="I32" s="5" t="s">
        <v>0</v>
      </c>
      <c r="J32" s="5" t="s">
        <v>0</v>
      </c>
      <c r="K32" s="5" t="s">
        <v>0</v>
      </c>
      <c r="L32" s="11" t="e">
        <f>B32*K32</f>
        <v>#VALUE!</v>
      </c>
    </row>
    <row r="33" customHeight="1" spans="1:12">
      <c r="A33" s="4">
        <f>ROW()-6</f>
        <v>27</v>
      </c>
      <c r="B33" s="5">
        <v>1</v>
      </c>
      <c r="C33" s="5" t="s">
        <v>77</v>
      </c>
      <c r="D33" s="5" t="s">
        <v>78</v>
      </c>
      <c r="E33" s="5" t="s">
        <v>79</v>
      </c>
      <c r="F33" s="5" t="s">
        <v>0</v>
      </c>
      <c r="G33" s="5" t="s">
        <v>0</v>
      </c>
      <c r="H33" s="5" t="s">
        <v>0</v>
      </c>
      <c r="I33" s="5" t="s">
        <v>0</v>
      </c>
      <c r="J33" s="5" t="s">
        <v>0</v>
      </c>
      <c r="K33" s="5" t="s">
        <v>0</v>
      </c>
      <c r="L33" s="11" t="e">
        <f>B33*K33</f>
        <v>#VALUE!</v>
      </c>
    </row>
    <row r="34" customHeight="1" spans="1:12">
      <c r="A34" s="4">
        <f>ROW()-6</f>
        <v>28</v>
      </c>
      <c r="B34" s="5">
        <v>1</v>
      </c>
      <c r="C34" s="5" t="s">
        <v>80</v>
      </c>
      <c r="D34" s="5" t="s">
        <v>81</v>
      </c>
      <c r="E34" s="5" t="s">
        <v>79</v>
      </c>
      <c r="F34" s="5" t="s">
        <v>0</v>
      </c>
      <c r="G34" s="5" t="s">
        <v>0</v>
      </c>
      <c r="H34" s="5" t="s">
        <v>0</v>
      </c>
      <c r="I34" s="5" t="s">
        <v>0</v>
      </c>
      <c r="J34" s="5" t="s">
        <v>0</v>
      </c>
      <c r="K34" s="5" t="s">
        <v>0</v>
      </c>
      <c r="L34" s="11" t="e">
        <f>B34*K34</f>
        <v>#VALUE!</v>
      </c>
    </row>
    <row r="35" customHeight="1" spans="1:12">
      <c r="A35" s="4">
        <f>ROW()-6</f>
        <v>29</v>
      </c>
      <c r="B35" s="5">
        <v>2</v>
      </c>
      <c r="C35" s="5" t="s">
        <v>82</v>
      </c>
      <c r="D35" s="5" t="s">
        <v>83</v>
      </c>
      <c r="E35" s="5" t="s">
        <v>84</v>
      </c>
      <c r="F35" s="5" t="s">
        <v>0</v>
      </c>
      <c r="G35" s="5" t="s">
        <v>0</v>
      </c>
      <c r="H35" s="5" t="s">
        <v>0</v>
      </c>
      <c r="I35" s="5" t="s">
        <v>0</v>
      </c>
      <c r="J35" s="5" t="s">
        <v>0</v>
      </c>
      <c r="K35" s="5" t="s">
        <v>0</v>
      </c>
      <c r="L35" s="11" t="e">
        <f>B35*K35</f>
        <v>#VALUE!</v>
      </c>
    </row>
    <row r="36" customHeight="1" spans="1:12">
      <c r="A36" s="4">
        <f>ROW()-6</f>
        <v>30</v>
      </c>
      <c r="B36" s="5">
        <v>1</v>
      </c>
      <c r="C36" s="5" t="s">
        <v>85</v>
      </c>
      <c r="D36" s="5" t="s">
        <v>86</v>
      </c>
      <c r="E36" s="5" t="s">
        <v>87</v>
      </c>
      <c r="F36" s="5" t="s">
        <v>0</v>
      </c>
      <c r="G36" s="5" t="s">
        <v>0</v>
      </c>
      <c r="H36" s="5" t="s">
        <v>0</v>
      </c>
      <c r="I36" s="5" t="s">
        <v>0</v>
      </c>
      <c r="J36" s="5" t="s">
        <v>0</v>
      </c>
      <c r="K36" s="5" t="s">
        <v>0</v>
      </c>
      <c r="L36" s="11" t="e">
        <f>B36*K36</f>
        <v>#VALUE!</v>
      </c>
    </row>
    <row r="37" customHeight="1" spans="1:12">
      <c r="A37" s="4">
        <f>ROW()-6</f>
        <v>31</v>
      </c>
      <c r="B37" s="5">
        <v>1</v>
      </c>
      <c r="C37" s="5" t="s">
        <v>88</v>
      </c>
      <c r="D37" s="5" t="s">
        <v>89</v>
      </c>
      <c r="E37" s="5" t="s">
        <v>90</v>
      </c>
      <c r="F37" s="5" t="s">
        <v>0</v>
      </c>
      <c r="G37" s="5" t="s">
        <v>0</v>
      </c>
      <c r="H37" s="5" t="s">
        <v>0</v>
      </c>
      <c r="I37" s="5" t="s">
        <v>0</v>
      </c>
      <c r="J37" s="5" t="s">
        <v>0</v>
      </c>
      <c r="K37" s="5" t="s">
        <v>0</v>
      </c>
      <c r="L37" s="11" t="e">
        <f>B37*K37</f>
        <v>#VALUE!</v>
      </c>
    </row>
    <row r="38" customHeight="1" spans="1:12">
      <c r="A38" s="4">
        <f>ROW()-6</f>
        <v>32</v>
      </c>
      <c r="B38" s="5">
        <v>1</v>
      </c>
      <c r="C38" s="5" t="s">
        <v>91</v>
      </c>
      <c r="D38" s="5" t="s">
        <v>92</v>
      </c>
      <c r="E38" s="5" t="s">
        <v>93</v>
      </c>
      <c r="F38" s="5" t="s">
        <v>0</v>
      </c>
      <c r="G38" s="5" t="s">
        <v>0</v>
      </c>
      <c r="H38" s="5" t="s">
        <v>0</v>
      </c>
      <c r="I38" s="5" t="s">
        <v>0</v>
      </c>
      <c r="J38" s="5" t="s">
        <v>0</v>
      </c>
      <c r="K38" s="5" t="s">
        <v>0</v>
      </c>
      <c r="L38" s="11" t="e">
        <f>B38*K38</f>
        <v>#VALUE!</v>
      </c>
    </row>
    <row r="39" customHeight="1" spans="1:12">
      <c r="A39" s="4">
        <f>ROW()-6</f>
        <v>33</v>
      </c>
      <c r="B39" s="5">
        <v>1</v>
      </c>
      <c r="C39" s="5" t="s">
        <v>94</v>
      </c>
      <c r="D39" s="5" t="s">
        <v>95</v>
      </c>
      <c r="E39" s="5" t="s">
        <v>96</v>
      </c>
      <c r="F39" s="5" t="s">
        <v>0</v>
      </c>
      <c r="G39" s="5" t="s">
        <v>0</v>
      </c>
      <c r="H39" s="5" t="s">
        <v>0</v>
      </c>
      <c r="I39" s="5" t="s">
        <v>0</v>
      </c>
      <c r="J39" s="5" t="s">
        <v>0</v>
      </c>
      <c r="K39" s="5" t="s">
        <v>0</v>
      </c>
      <c r="L39" s="11" t="e">
        <f>B39*K39</f>
        <v>#VALUE!</v>
      </c>
    </row>
    <row r="40" customHeight="1" spans="1:12">
      <c r="A40" s="4">
        <f>ROW()-6</f>
        <v>34</v>
      </c>
      <c r="B40" s="5">
        <v>1</v>
      </c>
      <c r="C40" s="5" t="s">
        <v>97</v>
      </c>
      <c r="D40" s="5" t="s">
        <v>98</v>
      </c>
      <c r="E40" s="5" t="s">
        <v>99</v>
      </c>
      <c r="F40" s="5" t="s">
        <v>0</v>
      </c>
      <c r="G40" s="5" t="s">
        <v>0</v>
      </c>
      <c r="H40" s="5" t="s">
        <v>0</v>
      </c>
      <c r="I40" s="5" t="s">
        <v>0</v>
      </c>
      <c r="J40" s="5" t="s">
        <v>0</v>
      </c>
      <c r="K40" s="5" t="s">
        <v>0</v>
      </c>
      <c r="L40" s="11" t="e">
        <f>B40*K40</f>
        <v>#VALUE!</v>
      </c>
    </row>
    <row r="41" customHeight="1" spans="1:12">
      <c r="A41" s="4">
        <f>ROW()-6</f>
        <v>35</v>
      </c>
      <c r="B41" s="6" t="e">
        <f>SUM(L7:L40)</f>
        <v>#VALUE!</v>
      </c>
      <c r="C41" s="6"/>
      <c r="D41" s="6"/>
      <c r="E41" s="6"/>
      <c r="F41" s="6"/>
      <c r="G41" s="6"/>
      <c r="H41" s="6"/>
      <c r="I41" s="6"/>
      <c r="J41" s="6"/>
      <c r="K41" s="6"/>
      <c r="L41" s="6"/>
    </row>
  </sheetData>
  <mergeCells count="4">
    <mergeCell ref="B41:L41"/>
    <mergeCell ref="E1:E2"/>
    <mergeCell ref="F1:F2"/>
    <mergeCell ref="A1:D5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9" defaultRowHeight="14.25" customHeight="1" outlineLevelCol="1"/>
  <cols>
    <col min="1" max="1" width="23.625" customWidth="1"/>
    <col min="2" max="2" width="57.5" customWidth="1"/>
  </cols>
  <sheetData>
    <row r="1" customHeight="1" spans="1:2">
      <c r="A1" s="1" t="s">
        <v>100</v>
      </c>
      <c r="B1" s="1" t="s">
        <v>4</v>
      </c>
    </row>
    <row r="2" customHeight="1" spans="1:2">
      <c r="A2" s="1" t="s">
        <v>101</v>
      </c>
      <c r="B2" s="1" t="s">
        <v>102</v>
      </c>
    </row>
    <row r="3" customHeight="1" spans="1:2">
      <c r="A3" s="1" t="s">
        <v>103</v>
      </c>
      <c r="B3" s="1" t="s">
        <v>6</v>
      </c>
    </row>
    <row r="4" customHeight="1" spans="1:2">
      <c r="A4" s="1" t="s">
        <v>104</v>
      </c>
      <c r="B4" s="1" t="s">
        <v>105</v>
      </c>
    </row>
    <row r="5" customHeight="1" spans="1:2">
      <c r="A5" s="1" t="s">
        <v>106</v>
      </c>
      <c r="B5" s="1" t="s">
        <v>6</v>
      </c>
    </row>
    <row r="6" customHeight="1" spans="1:2">
      <c r="A6" s="1" t="s">
        <v>107</v>
      </c>
      <c r="B6" s="1">
        <v>57</v>
      </c>
    </row>
    <row r="7" customHeight="1" spans="1:2">
      <c r="A7" s="1" t="s">
        <v>108</v>
      </c>
      <c r="B7" s="1" t="s">
        <v>109</v>
      </c>
    </row>
    <row r="8" customHeight="1" spans="1:2">
      <c r="A8" s="1" t="s">
        <v>110</v>
      </c>
      <c r="B8" s="1" t="s">
        <v>111</v>
      </c>
    </row>
    <row r="9" customHeight="1" spans="1:2">
      <c r="A9" s="1" t="s">
        <v>112</v>
      </c>
      <c r="B9" s="1" t="s">
        <v>8</v>
      </c>
    </row>
    <row r="10" customHeight="1" spans="1:2">
      <c r="A10" s="1" t="s">
        <v>113</v>
      </c>
      <c r="B10" s="1" t="s">
        <v>2</v>
      </c>
    </row>
    <row r="11" customHeight="1" spans="1:2">
      <c r="A11" s="1" t="s">
        <v>114</v>
      </c>
      <c r="B11" s="1" t="s">
        <v>115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雄霸天下</cp:lastModifiedBy>
  <dcterms:created xsi:type="dcterms:W3CDTF">2024-08-02T10:42:00Z</dcterms:created>
  <dcterms:modified xsi:type="dcterms:W3CDTF">2025-04-23T15:16:30Z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2052-6.10.1.8873</vt:lpwstr>
  </property>
  <property fmtid="{D5CDD505-2E9C-101B-9397-08002B2CF9AE}" pid="3" name="ICV">
    <vt:lpwstr>D95BD631CB48A1F2C89108686787E3B0_42</vt:lpwstr>
  </property>
</Properties>
</file>